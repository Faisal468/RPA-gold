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IBAD\Gold\Codebase\"/>
    </mc:Choice>
  </mc:AlternateContent>
  <bookViews>
    <workbookView xWindow="0" yWindow="0" windowWidth="23040" windowHeight="9072" tabRatio="500"/>
  </bookViews>
  <sheets>
    <sheet name="Gold Rate Log" sheetId="1" r:id="rId1"/>
  </sheets>
  <calcPr calcId="162913" iterateDelta="1E-4"/>
</workbook>
</file>

<file path=xl/calcChain.xml><?xml version="1.0" encoding="utf-8"?>
<calcChain xmlns="http://schemas.openxmlformats.org/spreadsheetml/2006/main">
  <c r="G11" i="1" l="1"/>
  <c r="F11" i="1"/>
  <c r="C11" i="1"/>
  <c r="F10" i="1"/>
  <c r="C10" i="1"/>
  <c r="F9" i="1"/>
  <c r="G10" i="1" s="1"/>
  <c r="C9" i="1"/>
  <c r="G8" i="1"/>
  <c r="F8" i="1"/>
  <c r="C8" i="1"/>
  <c r="G7" i="1"/>
  <c r="F7" i="1"/>
  <c r="C7" i="1"/>
  <c r="G6" i="1"/>
  <c r="F6" i="1"/>
  <c r="C6" i="1"/>
  <c r="F5" i="1"/>
  <c r="C5" i="1"/>
  <c r="F4" i="1"/>
  <c r="C4" i="1"/>
  <c r="G3" i="1"/>
  <c r="F3" i="1"/>
  <c r="C3" i="1"/>
  <c r="G2" i="1"/>
  <c r="F2" i="1"/>
  <c r="G5" i="1" s="1"/>
  <c r="C2" i="1"/>
  <c r="G9" i="1" l="1"/>
  <c r="G4" i="1"/>
</calcChain>
</file>

<file path=xl/sharedStrings.xml><?xml version="1.0" encoding="utf-8"?>
<sst xmlns="http://schemas.openxmlformats.org/spreadsheetml/2006/main" count="20" uniqueCount="13">
  <si>
    <t>Time</t>
  </si>
  <si>
    <t>Date</t>
  </si>
  <si>
    <t>Day</t>
  </si>
  <si>
    <t>Forex rate</t>
  </si>
  <si>
    <t>PakBiz rate</t>
  </si>
  <si>
    <t>Today's average</t>
  </si>
  <si>
    <t>Weely Average</t>
  </si>
  <si>
    <t>Final rate</t>
  </si>
  <si>
    <t>Manual rate</t>
  </si>
  <si>
    <t>Submitted by</t>
  </si>
  <si>
    <t>No</t>
  </si>
  <si>
    <t>admin</t>
  </si>
  <si>
    <t>mfais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</si>
</sst>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hh:mm"/>
    <numFmt numFmtId="165" formatCode="dd\-mmm\-yyyy"/>
    <numFmt numFmtId="166" formatCode="[$-409]h:mm:ss\ AM/PM;@"/>
    <numFmt numFmtId="167" formatCode="[$-F400]h:mm:ss\ AM/PM"/>
  </numFmts>
  <fonts count="6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name val="Arial"/>
      <charset val="1"/>
    </font>
    <font>
      <sz val="11"/>
      <name val="Arial"/>
      <family val="2"/>
    </font>
    <font>
      <b/>
      <sz val="11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2" fillId="0" borderId="0" xfId="0" applyNumberFormat="1" applyFont="1"/>
    <xf numFmtId="165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3" fontId="2" fillId="0" borderId="0" xfId="0" applyNumberFormat="1" applyFont="1"/>
    <xf numFmtId="3" fontId="3" fillId="0" borderId="0" xfId="0" applyNumberFormat="1" applyFont="1"/>
    <xf numFmtId="166" fontId="1" fillId="2" borderId="0" xfId="0" applyNumberFormat="1" applyFont="1" applyFill="1" applyAlignment="1">
      <alignment horizontal="center" vertical="center" wrapText="1"/>
    </xf>
    <xf numFmtId="166" fontId="4" fillId="0" borderId="0" xfId="0" applyNumberFormat="1" applyFont="1"/>
    <xf numFmtId="167" fontId="4" fillId="0" borderId="0" xfId="0" applyNumberFormat="1" applyFont="1"/>
    <xf numFmtId="166" fontId="0" fillId="0" borderId="0" xfId="0" applyNumberFormat="1"/>
    <xf numFmtId="0" fontId="0" fillId="0" borderId="0" xfId="0" applyAlignment="1">
      <alignment horizontal="right"/>
    </xf>
    <xf numFmtId="3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tabSelected="1" zoomScaleNormal="100" workbookViewId="0">
      <pane ySplit="1" topLeftCell="A2" activePane="bottomLeft" state="frozen"/>
      <selection pane="bottomLeft" activeCell="F11" sqref="F11"/>
    </sheetView>
  </sheetViews>
  <sheetFormatPr defaultColWidth="8.6640625" defaultRowHeight="14.4" x14ac:dyDescent="0.3"/>
  <cols>
    <col min="1" max="1" width="13.44140625" customWidth="1"/>
    <col min="2" max="2" width="15.77734375" customWidth="1"/>
    <col min="3" max="3" width="12.6640625" customWidth="1"/>
    <col min="4" max="4" width="14.44140625" customWidth="1"/>
    <col min="5" max="5" width="12" customWidth="1"/>
    <col min="6" max="6" width="16.33203125" customWidth="1"/>
    <col min="7" max="7" width="19.6640625" customWidth="1"/>
    <col min="8" max="10" width="16" customWidth="1"/>
  </cols>
  <sheetData>
    <row r="1" spans="1:10" ht="43.2" customHeight="1" x14ac:dyDescent="0.3">
      <c r="A1" s="7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8">
        <v>0.30093750000000002</v>
      </c>
      <c r="B2" s="3">
        <v>46307</v>
      </c>
      <c r="C2" s="4" t="str">
        <f t="shared" ref="C2:C11" si="0">TEXT(B2,"dddd")</f>
        <v>Monday</v>
      </c>
      <c r="D2" s="5">
        <v>368800</v>
      </c>
      <c r="E2" s="5">
        <v>369700</v>
      </c>
      <c r="F2" s="6">
        <f t="shared" ref="F2:F11" si="1">IF(COUNT(D2:E2)=0,"",AVERAGE(D2:E2))</f>
        <v>369250</v>
      </c>
      <c r="G2" s="12">
        <f>AVERAGEIFS($F$2:$F2, $B$2:$B2, "&gt;="&amp;($B2-WEEKDAY($B2,2)+1), $B$2:$B2, "&lt;="&amp;$B2)</f>
        <v>369250</v>
      </c>
    </row>
    <row r="3" spans="1:10" x14ac:dyDescent="0.3">
      <c r="A3" s="9">
        <v>0.30687500000000001</v>
      </c>
      <c r="B3" s="3">
        <v>46308</v>
      </c>
      <c r="C3" s="4" t="str">
        <f t="shared" si="0"/>
        <v>Tuesday</v>
      </c>
      <c r="D3" s="5">
        <v>368800</v>
      </c>
      <c r="E3" s="5">
        <v>370200</v>
      </c>
      <c r="F3" s="6">
        <f t="shared" si="1"/>
        <v>369500</v>
      </c>
      <c r="G3" s="12">
        <f>AVERAGEIFS($F$2:$F3, $B$2:$B3, "&gt;="&amp;($B3-WEEKDAY($B3,2)+1), $B$2:$B3, "&lt;="&amp;$B3)</f>
        <v>369375</v>
      </c>
    </row>
    <row r="4" spans="1:10" x14ac:dyDescent="0.3">
      <c r="A4" s="8">
        <v>0.34762731481481479</v>
      </c>
      <c r="B4" s="3">
        <v>46309</v>
      </c>
      <c r="C4" s="4" t="str">
        <f t="shared" si="0"/>
        <v>Wednesday</v>
      </c>
      <c r="D4" s="5">
        <v>368800</v>
      </c>
      <c r="E4" s="5">
        <v>370600</v>
      </c>
      <c r="F4" s="6">
        <f t="shared" si="1"/>
        <v>369700</v>
      </c>
      <c r="G4" s="12">
        <f>AVERAGEIFS($F$2:$F4, $B$2:$B4, "&gt;="&amp;($B4-WEEKDAY($B4,2)+1), $B$2:$B4, "&lt;="&amp;$B4)</f>
        <v>369483.33333333331</v>
      </c>
    </row>
    <row r="5" spans="1:10" x14ac:dyDescent="0.3">
      <c r="A5" s="8">
        <v>0.6663310185185185</v>
      </c>
      <c r="B5" s="3">
        <v>46310</v>
      </c>
      <c r="C5" s="4" t="str">
        <f t="shared" si="0"/>
        <v>Thursday</v>
      </c>
      <c r="D5" s="5">
        <v>368800</v>
      </c>
      <c r="E5" s="5">
        <v>370810</v>
      </c>
      <c r="F5" s="6">
        <f t="shared" si="1"/>
        <v>369805</v>
      </c>
      <c r="G5" s="12">
        <f>AVERAGEIFS($F$2:$F5, $B$2:$B5, "&gt;="&amp;($B5-WEEKDAY($B5,2)+1), $B$2:$B5, "&lt;="&amp;$B5)</f>
        <v>369563.75</v>
      </c>
    </row>
    <row r="6" spans="1:10" x14ac:dyDescent="0.3">
      <c r="A6" s="8">
        <v>0.48443287037037042</v>
      </c>
      <c r="B6" s="3">
        <v>46311</v>
      </c>
      <c r="C6" s="4" t="str">
        <f t="shared" si="0"/>
        <v>Friday</v>
      </c>
      <c r="D6" s="5">
        <v>368800</v>
      </c>
      <c r="E6" s="5">
        <v>370380</v>
      </c>
      <c r="F6" s="6">
        <f t="shared" si="1"/>
        <v>369590</v>
      </c>
      <c r="G6" s="12">
        <f>AVERAGEIFS($F$2:$F6, $B$2:$B6, "&gt;="&amp;($B6-WEEKDAY($B6,2)+1), $B$2:$B6, "&lt;="&amp;$B6)</f>
        <v>369569</v>
      </c>
    </row>
    <row r="7" spans="1:10" x14ac:dyDescent="0.3">
      <c r="A7" s="8">
        <v>0.69255787037037042</v>
      </c>
      <c r="B7" s="3">
        <v>46314</v>
      </c>
      <c r="C7" s="4" t="str">
        <f t="shared" si="0"/>
        <v>Monday</v>
      </c>
      <c r="D7" s="5">
        <v>368800</v>
      </c>
      <c r="E7" s="5">
        <v>370810</v>
      </c>
      <c r="F7" s="6">
        <f t="shared" si="1"/>
        <v>369805</v>
      </c>
      <c r="G7" s="12">
        <f>AVERAGEIFS($F$2:$F7, $B$2:$B7, "&gt;="&amp;($B7-WEEKDAY($B7,2)+1), $B$2:$B7, "&lt;="&amp;$B7)</f>
        <v>369805</v>
      </c>
      <c r="H7" s="5">
        <v>369805</v>
      </c>
      <c r="I7" s="11" t="s">
        <v>10</v>
      </c>
      <c r="J7" s="11" t="s">
        <v>11</v>
      </c>
    </row>
    <row r="8" spans="1:10" x14ac:dyDescent="0.3">
      <c r="A8" s="8">
        <v>0.68157407407407411</v>
      </c>
      <c r="B8" s="3">
        <v>46315</v>
      </c>
      <c r="C8" s="4" t="str">
        <f t="shared" si="0"/>
        <v>Tuesday</v>
      </c>
      <c r="D8" s="5">
        <v>368800</v>
      </c>
      <c r="E8" s="5">
        <v>370550</v>
      </c>
      <c r="F8" s="6">
        <f t="shared" si="1"/>
        <v>369675</v>
      </c>
      <c r="G8" s="12">
        <f>AVERAGEIFS($F$2:$F8, $B$2:$B8, "&gt;="&amp;($B8-WEEKDAY($B8,2)+1), $B$2:$B8, "&lt;="&amp;$B8)</f>
        <v>369740</v>
      </c>
      <c r="H8" s="5">
        <v>369675</v>
      </c>
      <c r="I8" s="11" t="s">
        <v>10</v>
      </c>
      <c r="J8" s="11" t="s">
        <v>11</v>
      </c>
    </row>
    <row r="9" spans="1:10" x14ac:dyDescent="0.3">
      <c r="A9" s="8">
        <v>0.44778935185185192</v>
      </c>
      <c r="B9" s="3">
        <v>46316</v>
      </c>
      <c r="C9" s="4" t="str">
        <f t="shared" si="0"/>
        <v>Wednesday</v>
      </c>
      <c r="D9" s="5">
        <v>368800</v>
      </c>
      <c r="E9" s="5">
        <v>368230</v>
      </c>
      <c r="F9" s="6">
        <f t="shared" si="1"/>
        <v>368515</v>
      </c>
      <c r="G9" s="12">
        <f>AVERAGEIFS($F$2:$F9, $B$2:$B9, "&gt;="&amp;($B9-WEEKDAY($B9,2)+1), $B$2:$B9, "&lt;="&amp;$B9)</f>
        <v>369331.66666666669</v>
      </c>
      <c r="H9" s="5">
        <v>368515</v>
      </c>
      <c r="I9" s="11" t="s">
        <v>10</v>
      </c>
      <c r="J9" s="11" t="s">
        <v>11</v>
      </c>
    </row>
    <row r="10" spans="1:10" x14ac:dyDescent="0.3">
      <c r="A10" s="8">
        <v>0.51233796296296297</v>
      </c>
      <c r="B10" s="3">
        <v>46318</v>
      </c>
      <c r="C10" s="4" t="str">
        <f t="shared" si="0"/>
        <v>Friday</v>
      </c>
      <c r="D10" s="5">
        <v>368800</v>
      </c>
      <c r="E10" s="5">
        <v>365660</v>
      </c>
      <c r="F10" s="6">
        <f t="shared" si="1"/>
        <v>367230</v>
      </c>
      <c r="G10" s="12">
        <f>AVERAGEIFS($F$2:$F10, $B$2:$B10, "&gt;="&amp;($B10-WEEKDAY($B10,2)+1), $B$2:$B10, "&lt;="&amp;$B10)</f>
        <v>368806.25</v>
      </c>
      <c r="H10" s="5">
        <v>367230</v>
      </c>
      <c r="I10" s="11" t="s">
        <v>10</v>
      </c>
      <c r="J10" s="11" t="s">
        <v>11</v>
      </c>
    </row>
    <row r="11" spans="1:10" x14ac:dyDescent="0.3">
      <c r="A11" s="8">
        <v>0.44855324074074082</v>
      </c>
      <c r="B11" s="3">
        <v>46321</v>
      </c>
      <c r="C11" s="4" t="str">
        <f t="shared" si="0"/>
        <v>Monday</v>
      </c>
      <c r="D11" s="5">
        <v>368800</v>
      </c>
      <c r="E11" s="5">
        <v>358370</v>
      </c>
      <c r="F11" s="6">
        <f t="shared" si="1"/>
        <v>363585</v>
      </c>
      <c r="G11" s="12">
        <f>AVERAGEIFS($F$2:$F11, $B$2:$B11, "&gt;="&amp;($B11-WEEKDAY($B11,2)+1), $B$2:$B11, "&lt;="&amp;$B11)</f>
        <v>363585</v>
      </c>
      <c r="H11" s="5">
        <v>363585</v>
      </c>
      <c r="I11" s="11" t="s">
        <v>10</v>
      </c>
      <c r="J11" s="11" t="s">
        <v>12</v>
      </c>
    </row>
    <row r="12" spans="1:10" x14ac:dyDescent="0.3">
      <c r="A12" s="10"/>
    </row>
    <row r="13" spans="1:10" x14ac:dyDescent="0.3">
      <c r="A13" s="10"/>
    </row>
    <row r="14" spans="1:10" x14ac:dyDescent="0.3">
      <c r="A14" s="10"/>
    </row>
    <row r="15" spans="1:10" x14ac:dyDescent="0.3">
      <c r="A15" s="10"/>
    </row>
    <row r="16" spans="1:10" x14ac:dyDescent="0.3">
      <c r="A16" s="10"/>
    </row>
    <row r="17" spans="1:1" x14ac:dyDescent="0.3">
      <c r="A17" s="10"/>
    </row>
    <row r="18" spans="1:1" x14ac:dyDescent="0.3">
      <c r="A18" s="10"/>
    </row>
    <row r="19" spans="1:1" x14ac:dyDescent="0.3">
      <c r="A19" s="10"/>
    </row>
    <row r="20" spans="1:1" x14ac:dyDescent="0.3">
      <c r="A20" s="2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Gold Rate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Muhammad Faisal</cp:lastModifiedBy>
  <cp:revision>0</cp:revision>
  <dcterms:created xsi:type="dcterms:W3CDTF">2026-10-15T10:52:05Z</dcterms:created>
  <dcterms:modified xsi:type="dcterms:W3CDTF">2026-10-26T06:14:16Z</dcterms:modified>
  <dc:language>en-US</dc:language>
</cp:coreProperties>
</file>