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500" firstSheet="0" activeTab="0" autoFilterDateGrouping="1"/>
  </bookViews>
  <sheets>
    <sheet name="Gold Rate Log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dd\-mmm\-yyyy"/>
    <numFmt numFmtId="166" formatCode="[$-409]h:mm:ss\ AM/PM;@"/>
    <numFmt numFmtId="167" formatCode="[$-F400]h:mm:ss\ AM/PM"/>
  </numFmts>
  <fonts count="6">
    <font>
      <name val="Calibri"/>
      <charset val="1"/>
      <family val="2"/>
      <color theme="1"/>
      <sz val="11"/>
    </font>
    <font>
      <name val="Arial"/>
      <charset val="1"/>
      <b val="1"/>
      <sz val="11"/>
    </font>
    <font>
      <name val="Arial"/>
      <charset val="1"/>
      <color rgb="FF0000FF"/>
      <sz val="11"/>
    </font>
    <font>
      <name val="Arial"/>
      <charset val="1"/>
      <sz val="11"/>
    </font>
    <font>
      <name val="Arial"/>
      <family val="2"/>
      <sz val="11"/>
    </font>
    <font>
      <name val="Arial"/>
      <family val="2"/>
      <b val="1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5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2" fillId="0" borderId="0" pivotButton="0" quotePrefix="0" xfId="0"/>
    <xf numFmtId="3" fontId="3" fillId="0" borderId="0" pivotButton="0" quotePrefix="0" xfId="0"/>
    <xf numFmtId="166" fontId="1" fillId="2" borderId="0" applyAlignment="1" pivotButton="0" quotePrefix="0" xfId="0">
      <alignment horizontal="center" vertical="center" wrapText="1"/>
    </xf>
    <xf numFmtId="166" fontId="4" fillId="0" borderId="0" pivotButton="0" quotePrefix="0" xfId="0"/>
    <xf numFmtId="167" fontId="4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right"/>
    </xf>
    <xf numFmtId="3" fontId="5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7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zoomScaleNormal="100" workbookViewId="0">
      <pane ySplit="1" topLeftCell="A2" activePane="bottomLeft" state="frozen"/>
      <selection pane="bottomLeft" activeCell="L21" sqref="L21"/>
    </sheetView>
  </sheetViews>
  <sheetFormatPr baseColWidth="8" defaultColWidth="8.6640625" defaultRowHeight="14.4"/>
  <cols>
    <col width="13.44140625" customWidth="1" min="1" max="1"/>
    <col width="15.77734375" customWidth="1" min="2" max="2"/>
    <col width="12.6640625" customWidth="1" min="3" max="3"/>
    <col width="14.44140625" customWidth="1" min="4" max="4"/>
    <col width="12" customWidth="1" min="5" max="5"/>
    <col width="16.33203125" customWidth="1" min="6" max="6"/>
    <col width="19.6640625" customWidth="1" min="7" max="7"/>
    <col width="16" customWidth="1" min="8" max="10"/>
    <col width="15.5546875" customWidth="1" min="11" max="11"/>
  </cols>
  <sheetData>
    <row r="1" ht="43.2" customHeight="1">
      <c r="A1" s="7" t="inlineStr">
        <is>
          <t>Time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Forex rate</t>
        </is>
      </c>
      <c r="E1" s="14" t="inlineStr">
        <is>
          <t>PakBiz rate</t>
        </is>
      </c>
      <c r="F1" s="1" t="inlineStr">
        <is>
          <t>Today's average</t>
        </is>
      </c>
      <c r="G1" s="1" t="inlineStr">
        <is>
          <t>Weely Average</t>
        </is>
      </c>
      <c r="H1" s="1" t="inlineStr">
        <is>
          <t>Final rate</t>
        </is>
      </c>
      <c r="I1" s="1" t="inlineStr">
        <is>
          <t>Manual rate</t>
        </is>
      </c>
      <c r="J1" s="1" t="inlineStr">
        <is>
          <t>Submitted by</t>
        </is>
      </c>
      <c r="K1" s="1" t="inlineStr">
        <is>
          <t>Difference b/w Forex and Pakbiz</t>
        </is>
      </c>
    </row>
    <row r="2">
      <c r="A2" s="8" t="n">
        <v>0.3009375</v>
      </c>
      <c r="B2" s="3" t="n">
        <v>46307</v>
      </c>
      <c r="C2" s="4">
        <f>TEXT(B2,"dddd")</f>
        <v/>
      </c>
      <c r="D2" s="5" t="n">
        <v>368800</v>
      </c>
      <c r="E2" s="5" t="n">
        <v>375090</v>
      </c>
      <c r="F2" s="6">
        <f>IF(COUNT(D2:E2)=0,"",AVERAGE(D2:E2))</f>
        <v/>
      </c>
      <c r="G2" s="12">
        <f>AVERAGEIFS($F$2:$F2, $B$2:$B2, "&gt;="&amp;($B2-WEEKDAY($B2,2)+1), $B$2:$B2, "&lt;="&amp;$B2)</f>
        <v/>
      </c>
      <c r="K2" s="15">
        <f>E2-D2</f>
        <v/>
      </c>
    </row>
    <row r="3">
      <c r="A3" s="9" t="n">
        <v>0.306875</v>
      </c>
      <c r="B3" s="3" t="n">
        <v>46308</v>
      </c>
      <c r="C3" s="4">
        <f>TEXT(B3,"dddd")</f>
        <v/>
      </c>
      <c r="D3" s="5" t="n">
        <v>368800</v>
      </c>
      <c r="E3" s="5" t="n">
        <v>372950</v>
      </c>
      <c r="F3" s="6">
        <f>IF(COUNT(D3:E3)=0,"",AVERAGE(D3:E3))</f>
        <v/>
      </c>
      <c r="G3" s="12">
        <f>AVERAGEIFS($F$2:$F3, $B$2:$B3, "&gt;="&amp;($B3-WEEKDAY($B3,2)+1), $B$2:$B3, "&lt;="&amp;$B3)</f>
        <v/>
      </c>
      <c r="K3" s="15">
        <f>E3-D3</f>
        <v/>
      </c>
    </row>
    <row r="4">
      <c r="A4" s="8" t="n">
        <v>0.3476273148148148</v>
      </c>
      <c r="B4" s="3" t="n">
        <v>46309</v>
      </c>
      <c r="C4" s="4">
        <f>TEXT(B4,"dddd")</f>
        <v/>
      </c>
      <c r="D4" s="5" t="n">
        <v>368800</v>
      </c>
      <c r="E4" s="5" t="n">
        <v>370380</v>
      </c>
      <c r="F4" s="6">
        <f>IF(COUNT(D4:E4)=0,"",AVERAGE(D4:E4))</f>
        <v/>
      </c>
      <c r="G4" s="12">
        <f>AVERAGEIFS($F$2:$F4, $B$2:$B4, "&gt;="&amp;($B4-WEEKDAY($B4,2)+1), $B$2:$B4, "&lt;="&amp;$B4)</f>
        <v/>
      </c>
      <c r="K4" s="15">
        <f>E4-D4</f>
        <v/>
      </c>
    </row>
    <row r="5">
      <c r="A5" s="8" t="n">
        <v>0.6663310185185185</v>
      </c>
      <c r="B5" s="3" t="n">
        <v>46310</v>
      </c>
      <c r="C5" s="4">
        <f>TEXT(B5,"dddd")</f>
        <v/>
      </c>
      <c r="D5" s="5" t="n">
        <v>368800</v>
      </c>
      <c r="E5" s="5" t="n">
        <v>370810</v>
      </c>
      <c r="F5" s="6">
        <f>IF(COUNT(D5:E5)=0,"",AVERAGE(D5:E5))</f>
        <v/>
      </c>
      <c r="G5" s="12">
        <f>AVERAGEIFS($F$2:$F5, $B$2:$B5, "&gt;="&amp;($B5-WEEKDAY($B5,2)+1), $B$2:$B5, "&lt;="&amp;$B5)</f>
        <v/>
      </c>
      <c r="K5" s="15">
        <f>E5-D5</f>
        <v/>
      </c>
    </row>
    <row r="6">
      <c r="A6" s="8" t="n">
        <v>0.4844328703703704</v>
      </c>
      <c r="B6" s="3" t="n">
        <v>46311</v>
      </c>
      <c r="C6" s="4">
        <f>TEXT(B6,"dddd")</f>
        <v/>
      </c>
      <c r="D6" s="5" t="n">
        <v>368800</v>
      </c>
      <c r="E6" s="5" t="n">
        <v>370380</v>
      </c>
      <c r="F6" s="6">
        <f>IF(COUNT(D6:E6)=0,"",AVERAGE(D6:E6))</f>
        <v/>
      </c>
      <c r="G6" s="12">
        <f>AVERAGEIFS($F$2:$F6, $B$2:$B6, "&gt;="&amp;($B6-WEEKDAY($B6,2)+1), $B$2:$B6, "&lt;="&amp;$B6)</f>
        <v/>
      </c>
      <c r="K6" s="15">
        <f>E6-D6</f>
        <v/>
      </c>
    </row>
    <row r="7">
      <c r="A7" s="8" t="n">
        <v>0.4726388888888889</v>
      </c>
      <c r="B7" s="3" t="n">
        <v>46312</v>
      </c>
      <c r="C7" s="4">
        <f>TEXT(B7,"dddd")</f>
        <v/>
      </c>
      <c r="D7" s="5" t="n">
        <v>368800</v>
      </c>
      <c r="E7" s="5" t="n">
        <v>372090</v>
      </c>
      <c r="F7" s="6">
        <f>IF(COUNT(D7:E7)=0,"",AVERAGE(D7:E7))</f>
        <v/>
      </c>
      <c r="G7" s="12">
        <f>AVERAGEIFS($F$2:$F7, $B$2:$B7, "&gt;="&amp;($B7-WEEKDAY($B7,2)+1), $B$2:$B7, "&lt;="&amp;$B7)</f>
        <v/>
      </c>
      <c r="K7" s="15">
        <f>E7-D7</f>
        <v/>
      </c>
    </row>
    <row r="8">
      <c r="A8" s="8" t="n">
        <v>0.6925578703703704</v>
      </c>
      <c r="B8" s="3" t="n">
        <v>46314</v>
      </c>
      <c r="C8" s="4">
        <f>TEXT(B8,"dddd")</f>
        <v/>
      </c>
      <c r="D8" s="5" t="n">
        <v>368800</v>
      </c>
      <c r="E8" s="5" t="n">
        <v>370810</v>
      </c>
      <c r="F8" s="6">
        <f>IF(COUNT(D8:E8)=0,"",AVERAGE(D8:E8))</f>
        <v/>
      </c>
      <c r="G8" s="12">
        <f>AVERAGEIFS($F$2:$F8, $B$2:$B8, "&gt;="&amp;($B8-WEEKDAY($B8,2)+1), $B$2:$B8, "&lt;="&amp;$B8)</f>
        <v/>
      </c>
      <c r="H8" s="5" t="n">
        <v>369805</v>
      </c>
      <c r="I8" s="11" t="inlineStr">
        <is>
          <t>No</t>
        </is>
      </c>
      <c r="J8" s="11" t="inlineStr">
        <is>
          <t>admin</t>
        </is>
      </c>
      <c r="K8" s="15">
        <f>E8-D8</f>
        <v/>
      </c>
    </row>
    <row r="9">
      <c r="A9" s="8" t="n">
        <v>0.6815740740740741</v>
      </c>
      <c r="B9" s="3" t="n">
        <v>46315</v>
      </c>
      <c r="C9" s="4">
        <f>TEXT(B9,"dddd")</f>
        <v/>
      </c>
      <c r="D9" s="5" t="n">
        <v>368800</v>
      </c>
      <c r="E9" s="5" t="n">
        <v>370550</v>
      </c>
      <c r="F9" s="6">
        <f>IF(COUNT(D9:E9)=0,"",AVERAGE(D9:E9))</f>
        <v/>
      </c>
      <c r="G9" s="12">
        <f>AVERAGEIFS($F$2:$F9, $B$2:$B9, "&gt;="&amp;($B9-WEEKDAY($B9,2)+1), $B$2:$B9, "&lt;="&amp;$B9)</f>
        <v/>
      </c>
      <c r="H9" s="5" t="n">
        <v>369675</v>
      </c>
      <c r="I9" s="11" t="inlineStr">
        <is>
          <t>No</t>
        </is>
      </c>
      <c r="J9" s="11" t="inlineStr">
        <is>
          <t>admin</t>
        </is>
      </c>
      <c r="K9" s="15">
        <f>E9-D9</f>
        <v/>
      </c>
    </row>
    <row r="10">
      <c r="A10" s="8" t="n">
        <v>0.4477893518518519</v>
      </c>
      <c r="B10" s="3" t="n">
        <v>46316</v>
      </c>
      <c r="C10" s="4">
        <f>TEXT(B10,"dddd")</f>
        <v/>
      </c>
      <c r="D10" s="5" t="n">
        <v>368800</v>
      </c>
      <c r="E10" s="5" t="n">
        <v>368230</v>
      </c>
      <c r="F10" s="6">
        <f>IF(COUNT(D10:E10)=0,"",AVERAGE(D10:E10))</f>
        <v/>
      </c>
      <c r="G10" s="12">
        <f>AVERAGEIFS($F$2:$F10, $B$2:$B10, "&gt;="&amp;($B10-WEEKDAY($B10,2)+1), $B$2:$B10, "&lt;="&amp;$B10)</f>
        <v/>
      </c>
      <c r="H10" s="5" t="n">
        <v>368515</v>
      </c>
      <c r="I10" s="11" t="inlineStr">
        <is>
          <t>No</t>
        </is>
      </c>
      <c r="J10" s="11" t="inlineStr">
        <is>
          <t>admin</t>
        </is>
      </c>
      <c r="K10" s="15">
        <f>E10-D10</f>
        <v/>
      </c>
    </row>
    <row r="11">
      <c r="A11" s="8" t="n">
        <v>0.4056712962962963</v>
      </c>
      <c r="B11" s="3" t="n">
        <v>46317</v>
      </c>
      <c r="C11" s="4">
        <f>TEXT(B11,"dddd")</f>
        <v/>
      </c>
      <c r="D11" s="5" t="n">
        <v>368800</v>
      </c>
      <c r="E11" s="5" t="n">
        <v>368230</v>
      </c>
      <c r="F11" s="6">
        <f>IF(COUNT(D11:E11)=0,"",AVERAGE(D11:E11))</f>
        <v/>
      </c>
      <c r="G11" s="12">
        <f>AVERAGEIFS($F$2:$F11, $B$2:$B11, "&gt;="&amp;($B11-WEEKDAY($B11,2)+1), $B$2:$B11, "&lt;="&amp;$B11)</f>
        <v/>
      </c>
      <c r="H11" s="5" t="n">
        <v>368515</v>
      </c>
      <c r="I11" s="11" t="inlineStr">
        <is>
          <t>No</t>
        </is>
      </c>
      <c r="J11" s="11" t="inlineStr">
        <is>
          <t>admin</t>
        </is>
      </c>
      <c r="K11" s="15">
        <f>E11-D11</f>
        <v/>
      </c>
    </row>
    <row r="12">
      <c r="A12" s="8" t="n">
        <v>0.512337962962963</v>
      </c>
      <c r="B12" s="3" t="n">
        <v>46318</v>
      </c>
      <c r="C12" s="4">
        <f>TEXT(B12,"dddd")</f>
        <v/>
      </c>
      <c r="D12" s="5" t="n">
        <v>368800</v>
      </c>
      <c r="E12" s="5" t="n">
        <v>365660</v>
      </c>
      <c r="F12" s="6">
        <f>IF(COUNT(D12:E12)=0,"",AVERAGE(D12:E12))</f>
        <v/>
      </c>
      <c r="G12" s="12">
        <f>AVERAGEIFS($F$2:$F12, $B$2:$B12, "&gt;="&amp;($B12-WEEKDAY($B12,2)+1), $B$2:$B12, "&lt;="&amp;$B12)</f>
        <v/>
      </c>
      <c r="H12" s="5" t="n">
        <v>367230</v>
      </c>
      <c r="I12" s="11" t="inlineStr">
        <is>
          <t>No</t>
        </is>
      </c>
      <c r="J12" s="11" t="inlineStr">
        <is>
          <t>admin</t>
        </is>
      </c>
      <c r="K12" s="15">
        <f>E12-D12</f>
        <v/>
      </c>
    </row>
    <row r="13">
      <c r="A13" s="8" t="n">
        <v>0.3597800925925926</v>
      </c>
      <c r="B13" s="3" t="n">
        <v>46319</v>
      </c>
      <c r="C13" s="4">
        <f>TEXT(B13,"dddd")</f>
        <v/>
      </c>
      <c r="D13" s="5" t="n">
        <v>368800</v>
      </c>
      <c r="E13" s="5" t="n">
        <v>368300</v>
      </c>
      <c r="F13" s="6">
        <f>IF(COUNT(D13:E13)=0,"",AVERAGE(D13:E13))</f>
        <v/>
      </c>
      <c r="G13" s="12">
        <f>AVERAGEIFS($F$2:$F13, $B$2:$B13, "&gt;="&amp;($B13-WEEKDAY($B13,2)+1), $B$2:$B13, "&lt;="&amp;$B13)</f>
        <v/>
      </c>
      <c r="H13" s="5" t="n">
        <v>368550</v>
      </c>
      <c r="I13" s="11" t="inlineStr">
        <is>
          <t>No</t>
        </is>
      </c>
      <c r="J13" s="11" t="inlineStr">
        <is>
          <t>admin</t>
        </is>
      </c>
      <c r="K13" s="15">
        <f>E13-D13</f>
        <v/>
      </c>
    </row>
    <row r="14">
      <c r="A14" s="8" t="n">
        <v>0.6022569444444444</v>
      </c>
      <c r="B14" s="3" t="n">
        <v>46321</v>
      </c>
      <c r="C14" s="4">
        <f>TEXT(B14,"dddd")</f>
        <v/>
      </c>
      <c r="D14" s="5" t="n">
        <v>368800</v>
      </c>
      <c r="E14" s="5" t="n">
        <v>359230</v>
      </c>
      <c r="F14" s="6">
        <f>IF(COUNT(D14:E14)=0,"",AVERAGE(D14:E14))</f>
        <v/>
      </c>
      <c r="G14" s="12">
        <f>AVERAGEIFS($F$2:$F14, $B$2:$B14, "&gt;="&amp;($B14-WEEKDAY($B14,2)+1), $B$2:$B14, "&lt;="&amp;$B14)</f>
        <v/>
      </c>
      <c r="H14" s="5" t="n">
        <v>363585</v>
      </c>
      <c r="I14" s="11" t="inlineStr">
        <is>
          <t>No</t>
        </is>
      </c>
      <c r="J14" s="11" t="inlineStr">
        <is>
          <t>mfais</t>
        </is>
      </c>
      <c r="K14" s="15">
        <f>E14-D14</f>
        <v/>
      </c>
    </row>
    <row r="15">
      <c r="A15" s="10" t="n"/>
      <c r="K15" s="13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2026-10-15T10:52:05Z</dcterms:created>
  <dcterms:modified xsi:type="dcterms:W3CDTF">2026-10-26T09:27:15Z</dcterms:modified>
  <cp:lastModifiedBy>Muhammad Faisal</cp:lastModifiedBy>
  <cp:revision>0</cp:revision>
</cp:coreProperties>
</file>